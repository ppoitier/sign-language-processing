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Dev\sign-language\sign-language-processing\notebooks\esann26\"/>
    </mc:Choice>
  </mc:AlternateContent>
  <xr:revisionPtr revIDLastSave="0" documentId="13_ncr:1_{15BC97AC-3A1D-448C-840A-65E4DC0786F2}" xr6:coauthVersionLast="47" xr6:coauthVersionMax="47" xr10:uidLastSave="{00000000-0000-0000-0000-000000000000}"/>
  <bookViews>
    <workbookView xWindow="38280" yWindow="3015" windowWidth="29040" windowHeight="15720" xr2:uid="{E0501759-F644-4C0A-9D1D-9BBF3221AD4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" i="1" l="1"/>
  <c r="P17" i="1"/>
  <c r="P16" i="1"/>
  <c r="P15" i="1"/>
  <c r="P14" i="1"/>
  <c r="H18" i="1"/>
  <c r="H17" i="1"/>
  <c r="H16" i="1"/>
  <c r="H15" i="1"/>
  <c r="O18" i="1"/>
  <c r="O17" i="1"/>
  <c r="O16" i="1"/>
  <c r="O15" i="1"/>
  <c r="O14" i="1"/>
  <c r="G18" i="1"/>
  <c r="G17" i="1"/>
  <c r="G16" i="1"/>
  <c r="G15" i="1"/>
  <c r="H14" i="1"/>
  <c r="G4" i="1"/>
  <c r="G14" i="1"/>
  <c r="N4" i="1"/>
  <c r="O8" i="1"/>
  <c r="N8" i="1"/>
  <c r="O7" i="1"/>
  <c r="N7" i="1"/>
  <c r="O6" i="1"/>
  <c r="N6" i="1"/>
  <c r="O5" i="1"/>
  <c r="N5" i="1"/>
  <c r="O4" i="1"/>
  <c r="G8" i="1"/>
  <c r="F8" i="1"/>
  <c r="G7" i="1"/>
  <c r="F7" i="1"/>
  <c r="G6" i="1"/>
  <c r="F6" i="1"/>
  <c r="G5" i="1"/>
  <c r="F5" i="1"/>
  <c r="F4" i="1"/>
</calcChain>
</file>

<file path=xl/sharedStrings.xml><?xml version="1.0" encoding="utf-8"?>
<sst xmlns="http://schemas.openxmlformats.org/spreadsheetml/2006/main" count="42" uniqueCount="16">
  <si>
    <t>ResNet50</t>
  </si>
  <si>
    <t>ResNet18</t>
  </si>
  <si>
    <t>ResNet152</t>
  </si>
  <si>
    <t>Iter1</t>
  </si>
  <si>
    <t>Iter2</t>
  </si>
  <si>
    <t>Iter3</t>
  </si>
  <si>
    <t>Iter4</t>
  </si>
  <si>
    <t>PoseVIT</t>
  </si>
  <si>
    <t>SPOTER</t>
  </si>
  <si>
    <t>macro acc.</t>
  </si>
  <si>
    <t>micro acc.</t>
  </si>
  <si>
    <t>Mean</t>
  </si>
  <si>
    <t>Dev</t>
  </si>
  <si>
    <t>Iter5</t>
  </si>
  <si>
    <t>LSFB 2000</t>
  </si>
  <si>
    <t>LSFB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</si>
</sst>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9D38C-EC4C-4267-97E6-D8B8F9DFC0B7}">
  <dimension ref="A1:P18"/>
  <sheetViews>
    <sheetView tabSelected="1" workbookViewId="0">
      <selection activeCell="R8" sqref="R8"/>
    </sheetView>
  </sheetViews>
  <sheetFormatPr defaultRowHeight="15" x14ac:dyDescent="0.25"/>
  <cols>
    <col min="1" max="1" width="12.42578125" customWidth="1"/>
  </cols>
  <sheetData>
    <row r="1" spans="1:16" x14ac:dyDescent="0.25">
      <c r="A1" s="1" t="s">
        <v>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6" x14ac:dyDescent="0.25">
      <c r="B2" s="1" t="s">
        <v>9</v>
      </c>
      <c r="C2" s="1"/>
      <c r="D2" s="1"/>
      <c r="E2" s="1"/>
      <c r="F2" s="1"/>
      <c r="G2" s="1"/>
      <c r="J2" s="1" t="s">
        <v>10</v>
      </c>
      <c r="K2" s="1"/>
      <c r="L2" s="1"/>
      <c r="M2" s="1"/>
      <c r="N2" s="1"/>
      <c r="O2" s="1"/>
    </row>
    <row r="3" spans="1:16" x14ac:dyDescent="0.25">
      <c r="B3" t="s">
        <v>3</v>
      </c>
      <c r="C3" t="s">
        <v>4</v>
      </c>
      <c r="D3" t="s">
        <v>5</v>
      </c>
      <c r="E3" t="s">
        <v>6</v>
      </c>
      <c r="F3" t="s">
        <v>11</v>
      </c>
      <c r="G3" t="s">
        <v>12</v>
      </c>
      <c r="J3" t="s">
        <v>3</v>
      </c>
      <c r="K3" t="s">
        <v>4</v>
      </c>
      <c r="L3" t="s">
        <v>5</v>
      </c>
      <c r="M3" t="s">
        <v>6</v>
      </c>
      <c r="N3" t="s">
        <v>11</v>
      </c>
      <c r="O3" t="s">
        <v>12</v>
      </c>
    </row>
    <row r="4" spans="1:16" x14ac:dyDescent="0.25">
      <c r="A4" t="s">
        <v>1</v>
      </c>
      <c r="B4">
        <v>39.06</v>
      </c>
      <c r="C4">
        <v>37.49</v>
      </c>
      <c r="D4">
        <v>38.4</v>
      </c>
      <c r="E4">
        <v>37.19</v>
      </c>
      <c r="F4">
        <f>AVERAGE(B4:E4)</f>
        <v>38.035000000000004</v>
      </c>
      <c r="G4">
        <f>_xlfn.STDEV.S(B4:E4)</f>
        <v>0.85535567650734345</v>
      </c>
      <c r="J4">
        <v>59.45</v>
      </c>
      <c r="K4">
        <v>58.18</v>
      </c>
      <c r="L4">
        <v>58.89</v>
      </c>
      <c r="M4">
        <v>57.91</v>
      </c>
      <c r="N4">
        <f>AVERAGE(J4:M4)</f>
        <v>58.607499999999995</v>
      </c>
      <c r="O4">
        <f>_xlfn.STDEV.S(J4:M4)</f>
        <v>0.69734615985654502</v>
      </c>
    </row>
    <row r="5" spans="1:16" x14ac:dyDescent="0.25">
      <c r="A5" t="s">
        <v>0</v>
      </c>
      <c r="B5">
        <v>40.85</v>
      </c>
      <c r="C5">
        <v>41.63</v>
      </c>
      <c r="D5">
        <v>40.909999999999997</v>
      </c>
      <c r="E5">
        <v>39.729999999999997</v>
      </c>
      <c r="F5">
        <f t="shared" ref="F5:F8" si="0">AVERAGE(B5:E5)</f>
        <v>40.78</v>
      </c>
      <c r="G5">
        <f t="shared" ref="G5:G8" si="1">_xlfn.STDEV.S(B5:E5)</f>
        <v>0.78460180983732342</v>
      </c>
      <c r="J5">
        <v>61.62</v>
      </c>
      <c r="K5">
        <v>62.02</v>
      </c>
      <c r="L5">
        <v>61.64</v>
      </c>
      <c r="M5">
        <v>60.68</v>
      </c>
      <c r="N5">
        <f t="shared" ref="N5:N8" si="2">AVERAGE(J5:M5)</f>
        <v>61.49</v>
      </c>
      <c r="O5">
        <f t="shared" ref="O5:O8" si="3">_xlfn.STDEV.S(J5:M5)</f>
        <v>0.5704968594713451</v>
      </c>
    </row>
    <row r="6" spans="1:16" x14ac:dyDescent="0.25">
      <c r="A6" t="s">
        <v>2</v>
      </c>
      <c r="B6">
        <v>40.29</v>
      </c>
      <c r="C6">
        <v>41.39</v>
      </c>
      <c r="D6">
        <v>40.33</v>
      </c>
      <c r="E6">
        <v>40.74</v>
      </c>
      <c r="F6">
        <f t="shared" si="0"/>
        <v>40.6875</v>
      </c>
      <c r="G6">
        <f t="shared" si="1"/>
        <v>0.51057973585588734</v>
      </c>
      <c r="J6">
        <v>61.31</v>
      </c>
      <c r="K6">
        <v>61.96</v>
      </c>
      <c r="L6">
        <v>60.75</v>
      </c>
      <c r="M6">
        <v>61.32</v>
      </c>
      <c r="N6">
        <f t="shared" si="2"/>
        <v>61.335000000000001</v>
      </c>
      <c r="O6">
        <f t="shared" si="3"/>
        <v>0.49453682033461072</v>
      </c>
    </row>
    <row r="7" spans="1:16" x14ac:dyDescent="0.25">
      <c r="A7" t="s">
        <v>7</v>
      </c>
      <c r="B7">
        <v>32</v>
      </c>
      <c r="C7">
        <v>31.42</v>
      </c>
      <c r="D7">
        <v>32.200000000000003</v>
      </c>
      <c r="E7">
        <v>32.82</v>
      </c>
      <c r="F7">
        <f t="shared" si="0"/>
        <v>32.11</v>
      </c>
      <c r="G7">
        <f t="shared" si="1"/>
        <v>0.5774657276987667</v>
      </c>
      <c r="J7">
        <v>51.72</v>
      </c>
      <c r="K7">
        <v>51.34</v>
      </c>
      <c r="L7">
        <v>51.98</v>
      </c>
      <c r="M7">
        <v>52.87</v>
      </c>
      <c r="N7">
        <f t="shared" si="2"/>
        <v>51.977499999999999</v>
      </c>
      <c r="O7">
        <f t="shared" si="3"/>
        <v>0.65045496897684152</v>
      </c>
    </row>
    <row r="8" spans="1:16" x14ac:dyDescent="0.25">
      <c r="A8" t="s">
        <v>8</v>
      </c>
      <c r="B8">
        <v>34.43</v>
      </c>
      <c r="C8">
        <v>31.69</v>
      </c>
      <c r="D8">
        <v>33.93</v>
      </c>
      <c r="E8">
        <v>34.93</v>
      </c>
      <c r="F8">
        <f t="shared" si="0"/>
        <v>33.745000000000005</v>
      </c>
      <c r="G8">
        <f t="shared" si="1"/>
        <v>1.4295337235150014</v>
      </c>
      <c r="J8">
        <v>54.7</v>
      </c>
      <c r="K8">
        <v>51.74</v>
      </c>
      <c r="L8">
        <v>54.04</v>
      </c>
      <c r="M8">
        <v>55.21</v>
      </c>
      <c r="N8">
        <f t="shared" si="2"/>
        <v>53.922499999999999</v>
      </c>
      <c r="O8">
        <f t="shared" si="3"/>
        <v>1.5318044914413849</v>
      </c>
    </row>
    <row r="11" spans="1:16" x14ac:dyDescent="0.25">
      <c r="A11" s="1" t="s">
        <v>14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25">
      <c r="B12" s="1" t="s">
        <v>9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1:16" x14ac:dyDescent="0.25">
      <c r="B13" t="s">
        <v>3</v>
      </c>
      <c r="C13" t="s">
        <v>4</v>
      </c>
      <c r="D13" t="s">
        <v>5</v>
      </c>
      <c r="E13" t="s">
        <v>6</v>
      </c>
      <c r="F13" t="s">
        <v>13</v>
      </c>
      <c r="G13" t="s">
        <v>11</v>
      </c>
      <c r="H13" t="s">
        <v>12</v>
      </c>
      <c r="J13" t="s">
        <v>3</v>
      </c>
      <c r="K13" t="s">
        <v>4</v>
      </c>
      <c r="L13" t="s">
        <v>5</v>
      </c>
      <c r="M13" t="s">
        <v>6</v>
      </c>
      <c r="N13" t="s">
        <v>13</v>
      </c>
      <c r="O13" t="s">
        <v>11</v>
      </c>
      <c r="P13" t="s">
        <v>12</v>
      </c>
    </row>
    <row r="14" spans="1:16" x14ac:dyDescent="0.25">
      <c r="A14" t="s">
        <v>1</v>
      </c>
      <c r="B14">
        <v>30.25</v>
      </c>
      <c r="C14">
        <v>29.82</v>
      </c>
      <c r="D14">
        <v>29.76</v>
      </c>
      <c r="E14">
        <v>29.79</v>
      </c>
      <c r="F14">
        <v>30</v>
      </c>
      <c r="G14">
        <f>AVERAGE(B14:F14)</f>
        <v>29.923999999999999</v>
      </c>
      <c r="H14">
        <f>_xlfn.STDEV.S(B14:F14)</f>
        <v>0.2047681615876841</v>
      </c>
      <c r="J14">
        <v>50.05</v>
      </c>
      <c r="K14">
        <v>49.53</v>
      </c>
      <c r="L14">
        <v>49.67</v>
      </c>
      <c r="M14">
        <v>49.56</v>
      </c>
      <c r="N14">
        <v>50</v>
      </c>
      <c r="O14">
        <f t="shared" ref="O14:O18" si="4">AVERAGE(J14:N14)</f>
        <v>49.762</v>
      </c>
      <c r="P14">
        <f t="shared" ref="P14:P18" si="5">_xlfn.STDEV.S(J14:N14)</f>
        <v>0.24631280924872573</v>
      </c>
    </row>
    <row r="15" spans="1:16" x14ac:dyDescent="0.25">
      <c r="A15" t="s">
        <v>0</v>
      </c>
      <c r="B15">
        <v>32.85</v>
      </c>
      <c r="C15">
        <v>33.369999999999997</v>
      </c>
      <c r="D15">
        <v>32.42</v>
      </c>
      <c r="E15">
        <v>32.909999999999997</v>
      </c>
      <c r="F15">
        <v>32.71</v>
      </c>
      <c r="G15">
        <f t="shared" ref="G15:G18" si="6">AVERAGE(B15:F15)</f>
        <v>32.852000000000004</v>
      </c>
      <c r="H15">
        <f t="shared" ref="H15:H18" si="7">_xlfn.STDEV.S(B15:F15)</f>
        <v>0.34586124385365702</v>
      </c>
      <c r="J15">
        <v>52.71</v>
      </c>
      <c r="K15">
        <v>53.43</v>
      </c>
      <c r="L15">
        <v>52.64</v>
      </c>
      <c r="M15">
        <v>52.94</v>
      </c>
      <c r="N15">
        <v>52.93</v>
      </c>
      <c r="O15">
        <f t="shared" si="4"/>
        <v>52.929999999999993</v>
      </c>
      <c r="P15">
        <f t="shared" si="5"/>
        <v>0.30927334188384187</v>
      </c>
    </row>
    <row r="16" spans="1:16" x14ac:dyDescent="0.25">
      <c r="A16" t="s">
        <v>2</v>
      </c>
      <c r="B16">
        <v>33.35</v>
      </c>
      <c r="C16">
        <v>33.03</v>
      </c>
      <c r="D16">
        <v>33.51</v>
      </c>
      <c r="E16">
        <v>33.119999999999997</v>
      </c>
      <c r="F16">
        <v>32.81</v>
      </c>
      <c r="G16">
        <f t="shared" si="6"/>
        <v>33.164000000000001</v>
      </c>
      <c r="H16">
        <f t="shared" si="7"/>
        <v>0.27364210202379197</v>
      </c>
      <c r="J16">
        <v>53.53</v>
      </c>
      <c r="K16">
        <v>53.22</v>
      </c>
      <c r="L16">
        <v>53.65</v>
      </c>
      <c r="M16">
        <v>53.07</v>
      </c>
      <c r="N16">
        <v>52.89</v>
      </c>
      <c r="O16">
        <f t="shared" si="4"/>
        <v>53.272000000000006</v>
      </c>
      <c r="P16">
        <f t="shared" si="5"/>
        <v>0.31578473680657804</v>
      </c>
    </row>
    <row r="17" spans="1:16" x14ac:dyDescent="0.25">
      <c r="A17" t="s">
        <v>7</v>
      </c>
      <c r="B17">
        <v>25.9</v>
      </c>
      <c r="C17">
        <v>26.29</v>
      </c>
      <c r="D17">
        <v>25.27</v>
      </c>
      <c r="E17">
        <v>25.79</v>
      </c>
      <c r="F17">
        <v>26.57</v>
      </c>
      <c r="G17">
        <f t="shared" si="6"/>
        <v>25.963999999999999</v>
      </c>
      <c r="H17">
        <f t="shared" si="7"/>
        <v>0.49737309939320223</v>
      </c>
      <c r="J17">
        <v>44.42</v>
      </c>
      <c r="K17">
        <v>44.98</v>
      </c>
      <c r="L17">
        <v>43.55</v>
      </c>
      <c r="M17">
        <v>44.27</v>
      </c>
      <c r="N17">
        <v>45.03</v>
      </c>
      <c r="O17">
        <f t="shared" si="4"/>
        <v>44.45</v>
      </c>
      <c r="P17">
        <f t="shared" si="5"/>
        <v>0.60427642681143912</v>
      </c>
    </row>
    <row r="18" spans="1:16" x14ac:dyDescent="0.25">
      <c r="A18" t="s">
        <v>8</v>
      </c>
      <c r="B18">
        <v>27.35</v>
      </c>
      <c r="C18">
        <v>27.97</v>
      </c>
      <c r="D18">
        <v>27.78</v>
      </c>
      <c r="E18">
        <v>27.67</v>
      </c>
      <c r="F18">
        <v>27.92</v>
      </c>
      <c r="G18">
        <f t="shared" si="6"/>
        <v>27.738</v>
      </c>
      <c r="H18">
        <f t="shared" si="7"/>
        <v>0.24692104001076884</v>
      </c>
      <c r="J18">
        <v>46.23</v>
      </c>
      <c r="K18">
        <v>46.9</v>
      </c>
      <c r="L18">
        <v>46.79</v>
      </c>
      <c r="M18">
        <v>46.62</v>
      </c>
      <c r="N18">
        <v>47</v>
      </c>
      <c r="O18">
        <f t="shared" si="4"/>
        <v>46.707999999999998</v>
      </c>
      <c r="P18">
        <f t="shared" si="5"/>
        <v>0.30210925176167758</v>
      </c>
    </row>
  </sheetData>
  <mergeCells count="6">
    <mergeCell ref="J12:P12"/>
    <mergeCell ref="B12:H12"/>
    <mergeCell ref="A11:P11"/>
    <mergeCell ref="A1:O1"/>
    <mergeCell ref="B2:G2"/>
    <mergeCell ref="J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Poitier</dc:creator>
  <cp:lastModifiedBy>Pierre Poitier</cp:lastModifiedBy>
  <dcterms:created xsi:type="dcterms:W3CDTF">2025-11-24T17:56:32Z</dcterms:created>
  <dcterms:modified xsi:type="dcterms:W3CDTF">2025-11-26T06:48:49Z</dcterms:modified>
</cp:coreProperties>
</file>