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ev\sign-language\sign-language-processing\notebooks\esann26\"/>
    </mc:Choice>
  </mc:AlternateContent>
  <xr:revisionPtr revIDLastSave="0" documentId="13_ncr:1_{37019E51-5A5F-4E7F-B36A-E57E4AC6B9E6}" xr6:coauthVersionLast="47" xr6:coauthVersionMax="47" xr10:uidLastSave="{00000000-0000-0000-0000-000000000000}"/>
  <bookViews>
    <workbookView xWindow="38280" yWindow="3015" windowWidth="29040" windowHeight="15720" xr2:uid="{E0501759-F644-4C0A-9D1D-9BBF3221AD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N7" i="1"/>
  <c r="M7" i="1"/>
  <c r="N6" i="1"/>
  <c r="M6" i="1"/>
  <c r="N5" i="1"/>
  <c r="M5" i="1"/>
  <c r="N4" i="1"/>
  <c r="M4" i="1"/>
  <c r="N3" i="1"/>
  <c r="G7" i="1"/>
  <c r="F7" i="1"/>
  <c r="G6" i="1"/>
  <c r="F6" i="1"/>
  <c r="G5" i="1"/>
  <c r="F5" i="1"/>
  <c r="G4" i="1"/>
  <c r="F4" i="1"/>
  <c r="G3" i="1"/>
  <c r="F3" i="1"/>
</calcChain>
</file>

<file path=xl/sharedStrings.xml><?xml version="1.0" encoding="utf-8"?>
<sst xmlns="http://schemas.openxmlformats.org/spreadsheetml/2006/main" count="19" uniqueCount="13">
  <si>
    <t>ResNet50</t>
  </si>
  <si>
    <t>ResNet18</t>
  </si>
  <si>
    <t>ResNet152</t>
  </si>
  <si>
    <t>Iter1</t>
  </si>
  <si>
    <t>Iter2</t>
  </si>
  <si>
    <t>Iter3</t>
  </si>
  <si>
    <t>Iter4</t>
  </si>
  <si>
    <t>PoseVIT</t>
  </si>
  <si>
    <t>SPOTER</t>
  </si>
  <si>
    <t>macro acc.</t>
  </si>
  <si>
    <t>micro acc.</t>
  </si>
  <si>
    <t>Mean</t>
  </si>
  <si>
    <t>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</si>
</sst>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9D38C-EC4C-4267-97E6-D8B8F9DFC0B7}">
  <dimension ref="A1:N7"/>
  <sheetViews>
    <sheetView tabSelected="1" workbookViewId="0">
      <selection activeCell="P5" sqref="P5"/>
    </sheetView>
  </sheetViews>
  <sheetFormatPr defaultRowHeight="15" x14ac:dyDescent="0.25"/>
  <cols>
    <col min="1" max="1" width="12.42578125" customWidth="1"/>
  </cols>
  <sheetData>
    <row r="1" spans="1:14" x14ac:dyDescent="0.25">
      <c r="B1" s="1" t="s">
        <v>9</v>
      </c>
      <c r="C1" s="1"/>
      <c r="D1" s="1"/>
      <c r="E1" s="1"/>
      <c r="G1" s="2"/>
      <c r="I1" s="1" t="s">
        <v>10</v>
      </c>
      <c r="J1" s="1"/>
      <c r="K1" s="1"/>
      <c r="L1" s="1"/>
    </row>
    <row r="2" spans="1:14" x14ac:dyDescent="0.25">
      <c r="B2" t="s">
        <v>3</v>
      </c>
      <c r="C2" t="s">
        <v>4</v>
      </c>
      <c r="D2" t="s">
        <v>5</v>
      </c>
      <c r="E2" t="s">
        <v>6</v>
      </c>
      <c r="F2" t="s">
        <v>11</v>
      </c>
      <c r="G2" t="s">
        <v>12</v>
      </c>
      <c r="I2" t="s">
        <v>3</v>
      </c>
      <c r="J2" t="s">
        <v>4</v>
      </c>
      <c r="K2" t="s">
        <v>5</v>
      </c>
      <c r="L2" t="s">
        <v>6</v>
      </c>
      <c r="M2" t="s">
        <v>11</v>
      </c>
      <c r="N2" t="s">
        <v>12</v>
      </c>
    </row>
    <row r="3" spans="1:14" x14ac:dyDescent="0.25">
      <c r="A3" t="s">
        <v>1</v>
      </c>
      <c r="B3">
        <v>39.06</v>
      </c>
      <c r="C3">
        <v>37.49</v>
      </c>
      <c r="D3">
        <v>38.4</v>
      </c>
      <c r="E3">
        <v>37.19</v>
      </c>
      <c r="F3">
        <f>AVERAGE(B3:E3)</f>
        <v>38.035000000000004</v>
      </c>
      <c r="G3">
        <f>_xlfn.STDEV.S(B3:E3)</f>
        <v>0.85535567650734345</v>
      </c>
      <c r="I3">
        <v>59.45</v>
      </c>
      <c r="J3">
        <v>58.18</v>
      </c>
      <c r="K3">
        <v>58.89</v>
      </c>
      <c r="L3">
        <v>57.91</v>
      </c>
      <c r="M3">
        <f>AVERAGE(I3:L3)</f>
        <v>58.607499999999995</v>
      </c>
      <c r="N3">
        <f>_xlfn.STDEV.S(I3:L3)</f>
        <v>0.69734615985654502</v>
      </c>
    </row>
    <row r="4" spans="1:14" x14ac:dyDescent="0.25">
      <c r="A4" t="s">
        <v>0</v>
      </c>
      <c r="B4">
        <v>40.85</v>
      </c>
      <c r="C4">
        <v>41.63</v>
      </c>
      <c r="D4">
        <v>40.909999999999997</v>
      </c>
      <c r="E4">
        <v>39.729999999999997</v>
      </c>
      <c r="F4">
        <f t="shared" ref="F4:F7" si="0">AVERAGE(B4:E4)</f>
        <v>40.78</v>
      </c>
      <c r="G4">
        <f t="shared" ref="G4:G7" si="1">_xlfn.STDEV.S(B4:E4)</f>
        <v>0.78460180983732342</v>
      </c>
      <c r="I4">
        <v>61.62</v>
      </c>
      <c r="J4">
        <v>62.02</v>
      </c>
      <c r="K4">
        <v>61.64</v>
      </c>
      <c r="L4">
        <v>60.68</v>
      </c>
      <c r="M4">
        <f t="shared" ref="M4:M7" si="2">AVERAGE(I4:L4)</f>
        <v>61.49</v>
      </c>
      <c r="N4">
        <f t="shared" ref="N4:N7" si="3">_xlfn.STDEV.S(I4:L4)</f>
        <v>0.5704968594713451</v>
      </c>
    </row>
    <row r="5" spans="1:14" x14ac:dyDescent="0.25">
      <c r="A5" t="s">
        <v>2</v>
      </c>
      <c r="B5">
        <v>40.29</v>
      </c>
      <c r="C5">
        <v>41.39</v>
      </c>
      <c r="D5">
        <v>40.33</v>
      </c>
      <c r="E5">
        <v>40.74</v>
      </c>
      <c r="F5">
        <f t="shared" si="0"/>
        <v>40.6875</v>
      </c>
      <c r="G5">
        <f t="shared" si="1"/>
        <v>0.51057973585588734</v>
      </c>
      <c r="I5">
        <v>61.31</v>
      </c>
      <c r="J5">
        <v>61.96</v>
      </c>
      <c r="K5">
        <v>60.75</v>
      </c>
      <c r="L5">
        <v>61.32</v>
      </c>
      <c r="M5">
        <f t="shared" si="2"/>
        <v>61.335000000000001</v>
      </c>
      <c r="N5">
        <f t="shared" si="3"/>
        <v>0.49453682033461072</v>
      </c>
    </row>
    <row r="6" spans="1:14" x14ac:dyDescent="0.25">
      <c r="A6" t="s">
        <v>7</v>
      </c>
      <c r="B6">
        <v>32</v>
      </c>
      <c r="C6">
        <v>31.42</v>
      </c>
      <c r="D6">
        <v>32.200000000000003</v>
      </c>
      <c r="E6">
        <v>32.82</v>
      </c>
      <c r="F6">
        <f t="shared" si="0"/>
        <v>32.11</v>
      </c>
      <c r="G6">
        <f t="shared" si="1"/>
        <v>0.5774657276987667</v>
      </c>
      <c r="I6">
        <v>51.72</v>
      </c>
      <c r="J6">
        <v>51.34</v>
      </c>
      <c r="K6">
        <v>51.98</v>
      </c>
      <c r="L6">
        <v>52.87</v>
      </c>
      <c r="M6">
        <f t="shared" si="2"/>
        <v>51.977499999999999</v>
      </c>
      <c r="N6">
        <f t="shared" si="3"/>
        <v>0.65045496897684152</v>
      </c>
    </row>
    <row r="7" spans="1:14" x14ac:dyDescent="0.25">
      <c r="A7" t="s">
        <v>8</v>
      </c>
      <c r="B7">
        <v>34.43</v>
      </c>
      <c r="C7">
        <v>31.69</v>
      </c>
      <c r="D7">
        <v>33.93</v>
      </c>
      <c r="E7">
        <v>34.93</v>
      </c>
      <c r="F7">
        <f t="shared" si="0"/>
        <v>33.745000000000005</v>
      </c>
      <c r="G7">
        <f t="shared" si="1"/>
        <v>1.4295337235150014</v>
      </c>
      <c r="I7">
        <v>54.7</v>
      </c>
      <c r="J7">
        <v>51.74</v>
      </c>
      <c r="K7">
        <v>54.04</v>
      </c>
      <c r="L7">
        <v>55.21</v>
      </c>
      <c r="M7">
        <f t="shared" si="2"/>
        <v>53.922499999999999</v>
      </c>
      <c r="N7">
        <f t="shared" si="3"/>
        <v>1.5318044914413849</v>
      </c>
    </row>
  </sheetData>
  <mergeCells count="2">
    <mergeCell ref="B1:E1"/>
    <mergeCell ref="I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Poitier</dc:creator>
  <cp:lastModifiedBy>Pierre Poitier</cp:lastModifiedBy>
  <dcterms:created xsi:type="dcterms:W3CDTF">2025-11-24T17:56:32Z</dcterms:created>
  <dcterms:modified xsi:type="dcterms:W3CDTF">2025-11-24T18:07:47Z</dcterms:modified>
</cp:coreProperties>
</file>